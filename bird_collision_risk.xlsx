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<sst xmlns="http://schemas.openxmlformats.org/spreadsheetml/2006/main" count="52" uniqueCount="52">
  <si>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Building</t>
  </si>
  <si>
    <t>Glass</t>
  </si>
  <si>
    <t>Vegetation</t>
  </si>
  <si>
    <t>Light</t>
  </si>
  <si>
    <t>Location</t>
  </si>
  <si>
    <t>Prevention</t>
  </si>
  <si>
    <t>Score</t>
  </si>
  <si>
    <t>Level</t>
  </si>
  <si>
    <t>T1</t>
  </si>
  <si>
    <t>T2</t>
  </si>
  <si>
    <t>T3</t>
  </si>
  <si>
    <t>T4</t>
  </si>
  <si>
    <t>T5</t>
  </si>
  <si>
    <t>T6</t>
  </si>
  <si>
    <t>T7</t>
  </si>
  <si>
    <t>T8</t>
  </si>
  <si>
    <t>T29</t>
  </si>
  <si>
    <t>Art Hills</t>
  </si>
  <si>
    <t>Cultural Creativity Clusters</t>
  </si>
  <si>
    <t>Performance Theater</t>
  </si>
  <si>
    <t>Administration Building</t>
  </si>
  <si>
    <t>University Hall</t>
  </si>
  <si>
    <t>Sports Complex</t>
  </si>
  <si>
    <t>Learning Resource Centre</t>
  </si>
  <si>
    <t>Bridge AH to Island</t>
  </si>
  <si>
    <t>Bridge T4 to Island</t>
  </si>
  <si>
    <t>Bridge Island to CC</t>
  </si>
  <si>
    <t>Bridge T8 to T29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</si>
  <si>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</si>
  <si>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</si>
  <si>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</si>
  <si>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</si>
  <si>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</si>
  <si>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</si>
  <si>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</si>
  <si>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</si>
  <si>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</si>
  <si>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</si>
  <si>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</si>
  <si>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</si>
  <si>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</si>
  <si>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</si>
  <si>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</si>
  <si>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Institution for Advanced Study</t>
  </si>
  <si>
    <t>D1</t>
  </si>
  <si>
    <t>D2</t>
  </si>
  <si>
    <t>D3</t>
  </si>
  <si>
    <t>D4</t>
  </si>
  <si>
    <t>D5</t>
  </si>
  <si>
    <t>D6</t>
  </si>
  <si>
    <t>Huitong Village</t>
  </si>
  <si>
    <t>Sports Park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</si>
</sst>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workbookViewId="0">
      <selection activeCell="B19" sqref="B19"/>
    </sheetView>
  </sheetViews>
  <sheetFormatPr defaultColWidth="9" defaultRowHeight="14" outlineLevelCol="7"/>
  <cols>
    <col min="1" max="1" width="41.1818181818182" customWidth="1"/>
    <col min="2" max="2" width="38.1818181818182" customWidth="1"/>
    <col min="3" max="3" width="34.7272727272727" customWidth="1"/>
    <col min="4" max="4" width="19.0909090909091" customWidth="1"/>
    <col min="5" max="5" width="21.6363636363636" customWidth="1"/>
    <col min="6" max="6" width="30.0909090909091" customWidth="1"/>
    <col min="7" max="7" width="17.181818181818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9</v>
      </c>
      <c r="C2" s="1">
        <v>8</v>
      </c>
      <c r="D2" s="1">
        <v>5</v>
      </c>
      <c r="E2" s="1">
        <v>8</v>
      </c>
      <c r="F2" s="1">
        <v>7</v>
      </c>
      <c r="G2" s="1" cm="1">
        <f t="array" ref="G2">SUMPRODUCT(B2:F2,{0.35,0.25,0.2,0.15,0.05})</f>
        <v>7.7</v>
      </c>
      <c r="H2" s="1" t="str">
        <f>IF(G2&gt;7,"High",IF(G2&gt;=4,"Median","Low"))</f>
        <v>High</v>
      </c>
    </row>
    <row r="3" spans="1:8">
      <c r="A3" s="1" t="s">
        <v>9</v>
      </c>
      <c r="B3" s="1">
        <v>9</v>
      </c>
      <c r="C3" s="1">
        <v>5</v>
      </c>
      <c r="D3" s="1">
        <v>5</v>
      </c>
      <c r="E3" s="1">
        <v>8</v>
      </c>
      <c r="F3" s="1">
        <v>7</v>
      </c>
      <c r="G3" s="1" cm="1">
        <f t="array" ref="G3">SUMPRODUCT(B3:F3,{0.35,0.25,0.2,0.15,0.05})</f>
        <v>6.95</v>
      </c>
      <c r="H3" s="1" t="str">
        <f t="shared" ref="H3:H45" si="0">IF(G3&gt;7,"High",IF(G3&gt;=4,"Median","Low"))</f>
        <v>Median</v>
      </c>
    </row>
    <row r="4" spans="1:8">
      <c r="A4" s="1" t="s">
        <v>10</v>
      </c>
      <c r="B4" s="1">
        <v>9</v>
      </c>
      <c r="C4" s="1">
        <v>5</v>
      </c>
      <c r="D4" s="1">
        <v>5</v>
      </c>
      <c r="E4" s="1">
        <v>10</v>
      </c>
      <c r="F4" s="1">
        <v>7</v>
      </c>
      <c r="G4" s="1" cm="1">
        <f t="array" ref="G4">SUMPRODUCT(B4:F4,{0.35,0.25,0.2,0.15,0.05})</f>
        <v>7.25</v>
      </c>
      <c r="H4" s="1" t="str">
        <f t="shared" si="0"/>
        <v>High</v>
      </c>
    </row>
    <row r="5" spans="1:8">
      <c r="A5" s="1" t="s">
        <v>11</v>
      </c>
      <c r="B5" s="1">
        <v>10</v>
      </c>
      <c r="C5" s="1">
        <v>10</v>
      </c>
      <c r="D5" s="1">
        <v>5</v>
      </c>
      <c r="E5" s="1">
        <v>10</v>
      </c>
      <c r="F5" s="1">
        <v>7</v>
      </c>
      <c r="G5" s="1" cm="1">
        <f t="array" ref="G5">SUMPRODUCT(B5:F5,{0.35,0.25,0.2,0.15,0.05})</f>
        <v>8.85</v>
      </c>
      <c r="H5" s="1" t="str">
        <f t="shared" si="0"/>
        <v>High</v>
      </c>
    </row>
    <row r="6" spans="1:8">
      <c r="A6" s="1" t="s">
        <v>12</v>
      </c>
      <c r="B6" s="1">
        <v>9</v>
      </c>
      <c r="C6" s="1">
        <v>5</v>
      </c>
      <c r="D6" s="1">
        <v>5</v>
      </c>
      <c r="E6" s="1">
        <v>6</v>
      </c>
      <c r="F6" s="1">
        <v>7</v>
      </c>
      <c r="G6" s="1" cm="1">
        <f t="array" ref="G6">SUMPRODUCT(B6:F6,{0.35,0.25,0.2,0.15,0.05})</f>
        <v>6.65</v>
      </c>
      <c r="H6" s="1" t="str">
        <f t="shared" si="0"/>
        <v>Median</v>
      </c>
    </row>
    <row r="7" spans="1:8">
      <c r="A7" s="1" t="s">
        <v>13</v>
      </c>
      <c r="B7" s="1">
        <v>10</v>
      </c>
      <c r="C7" s="1">
        <v>5</v>
      </c>
      <c r="D7" s="1">
        <v>5</v>
      </c>
      <c r="E7" s="1">
        <v>7</v>
      </c>
      <c r="F7" s="1">
        <v>7</v>
      </c>
      <c r="G7" s="1" cm="1">
        <f t="array" ref="G7">SUMPRODUCT(B7:F7,{0.35,0.25,0.2,0.15,0.05})</f>
        <v>7.15</v>
      </c>
      <c r="H7" s="1" t="str">
        <f t="shared" si="0"/>
        <v>High</v>
      </c>
    </row>
    <row r="8" spans="1:8">
      <c r="A8" s="1" t="s">
        <v>14</v>
      </c>
      <c r="B8" s="1">
        <v>10</v>
      </c>
      <c r="C8" s="1">
        <v>6</v>
      </c>
      <c r="D8" s="1">
        <v>5</v>
      </c>
      <c r="E8" s="1">
        <v>8</v>
      </c>
      <c r="F8" s="1">
        <v>8</v>
      </c>
      <c r="G8" s="1" cm="1">
        <f t="array" ref="G8">SUMPRODUCT(B8:F8,{0.35,0.25,0.2,0.15,0.05})</f>
        <v>7.6</v>
      </c>
      <c r="H8" s="1" t="str">
        <f t="shared" si="0"/>
        <v>High</v>
      </c>
    </row>
    <row r="9" spans="1:8">
      <c r="A9" s="1" t="s">
        <v>15</v>
      </c>
      <c r="B9" s="1">
        <v>10</v>
      </c>
      <c r="C9" s="1">
        <v>7</v>
      </c>
      <c r="D9" s="1">
        <v>5</v>
      </c>
      <c r="E9" s="1">
        <v>10</v>
      </c>
      <c r="F9" s="1">
        <v>8</v>
      </c>
      <c r="G9" s="1" cm="1">
        <f t="array" ref="G9">SUMPRODUCT(B9:F9,{0.35,0.25,0.2,0.15,0.05})</f>
        <v>8.15</v>
      </c>
      <c r="H9" s="1" t="str">
        <f t="shared" si="0"/>
        <v>High</v>
      </c>
    </row>
    <row r="10" spans="1:8">
      <c r="A10" s="1" t="s">
        <v>16</v>
      </c>
      <c r="B10" s="1">
        <v>9</v>
      </c>
      <c r="C10" s="1">
        <v>8</v>
      </c>
      <c r="D10" s="1">
        <v>5</v>
      </c>
      <c r="E10" s="1">
        <v>8</v>
      </c>
      <c r="F10" s="1">
        <v>7</v>
      </c>
      <c r="G10" s="1" cm="1">
        <f t="array" ref="G10">SUMPRODUCT(B10:F10,{0.35,0.25,0.2,0.15,0.05})</f>
        <v>7.7</v>
      </c>
      <c r="H10" s="1" t="str">
        <f t="shared" si="0"/>
        <v>High</v>
      </c>
    </row>
    <row r="11" spans="1:8">
      <c r="A11" s="1" t="s">
        <v>17</v>
      </c>
      <c r="B11" s="1">
        <v>6</v>
      </c>
      <c r="C11" s="1">
        <v>10</v>
      </c>
      <c r="D11" s="1">
        <v>4</v>
      </c>
      <c r="E11" s="1">
        <v>4</v>
      </c>
      <c r="F11" s="1">
        <v>7</v>
      </c>
      <c r="G11" s="1" cm="1">
        <f t="array" ref="G11">SUMPRODUCT(B11:F11,{0.35,0.25,0.2,0.15,0.05})</f>
        <v>6.35</v>
      </c>
      <c r="H11" s="1" t="str">
        <f t="shared" si="0"/>
        <v>Median</v>
      </c>
    </row>
    <row r="12" spans="1:8">
      <c r="A12" s="1" t="s">
        <v>18</v>
      </c>
      <c r="B12" s="1">
        <v>9</v>
      </c>
      <c r="C12" s="1">
        <v>5</v>
      </c>
      <c r="D12" s="1">
        <v>8</v>
      </c>
      <c r="E12" s="1">
        <v>9</v>
      </c>
      <c r="F12" s="1">
        <v>7</v>
      </c>
      <c r="G12" s="1" cm="1">
        <f t="array" ref="G12">SUMPRODUCT(B12:F12,{0.35,0.25,0.2,0.15,0.05})</f>
        <v>7.7</v>
      </c>
      <c r="H12" s="1" t="str">
        <f t="shared" si="0"/>
        <v>High</v>
      </c>
    </row>
    <row r="13" spans="1:8">
      <c r="A13" s="1" t="s">
        <v>19</v>
      </c>
      <c r="B13" s="1">
        <v>9</v>
      </c>
      <c r="C13" s="1">
        <v>4</v>
      </c>
      <c r="D13" s="1">
        <v>8</v>
      </c>
      <c r="E13" s="1">
        <v>8</v>
      </c>
      <c r="F13" s="1">
        <v>7</v>
      </c>
      <c r="G13" s="1" cm="1">
        <f t="array" ref="G13">SUMPRODUCT(B13:F13,{0.35,0.25,0.2,0.15,0.05})</f>
        <v>7.3</v>
      </c>
      <c r="H13" s="1" t="str">
        <f t="shared" si="0"/>
        <v>High</v>
      </c>
    </row>
    <row r="14" spans="1:8">
      <c r="A14" s="1" t="s">
        <v>20</v>
      </c>
      <c r="B14" s="1">
        <v>10</v>
      </c>
      <c r="C14" s="1">
        <v>10</v>
      </c>
      <c r="D14" s="1">
        <v>8</v>
      </c>
      <c r="E14" s="1">
        <v>9</v>
      </c>
      <c r="F14" s="1">
        <v>7</v>
      </c>
      <c r="G14" s="1" cm="1">
        <f t="array" ref="G14">SUMPRODUCT(B14:F14,{0.35,0.25,0.2,0.15,0.05})</f>
        <v>9.3</v>
      </c>
      <c r="H14" s="1" t="str">
        <f t="shared" si="0"/>
        <v>High</v>
      </c>
    </row>
    <row r="15" spans="1:8">
      <c r="A15" s="1" t="s">
        <v>21</v>
      </c>
      <c r="B15" s="1">
        <v>10</v>
      </c>
      <c r="C15" s="1">
        <v>10</v>
      </c>
      <c r="D15" s="1">
        <v>8</v>
      </c>
      <c r="E15" s="1">
        <v>8</v>
      </c>
      <c r="F15" s="1">
        <v>7</v>
      </c>
      <c r="G15" s="1" cm="1">
        <f t="array" ref="G15">SUMPRODUCT(B15:F15,{0.35,0.25,0.2,0.15,0.05})</f>
        <v>9.15</v>
      </c>
      <c r="H15" s="1" t="str">
        <f t="shared" si="0"/>
        <v>High</v>
      </c>
    </row>
    <row r="16" spans="1:8">
      <c r="A16" s="1" t="s">
        <v>22</v>
      </c>
      <c r="B16" s="1">
        <v>10</v>
      </c>
      <c r="C16" s="1">
        <v>4</v>
      </c>
      <c r="D16" s="1">
        <v>7</v>
      </c>
      <c r="E16" s="1">
        <v>8</v>
      </c>
      <c r="F16" s="1">
        <v>7</v>
      </c>
      <c r="G16" s="1" cm="1">
        <f t="array" ref="G16">SUMPRODUCT(B16:F16,{0.35,0.25,0.2,0.15,0.05})</f>
        <v>7.45</v>
      </c>
      <c r="H16" s="1" t="str">
        <f t="shared" si="0"/>
        <v>High</v>
      </c>
    </row>
    <row r="17" spans="1:8">
      <c r="A17" s="1" t="s">
        <v>23</v>
      </c>
      <c r="B17" s="1">
        <v>10</v>
      </c>
      <c r="C17" s="1">
        <v>8</v>
      </c>
      <c r="D17" s="1">
        <v>8</v>
      </c>
      <c r="E17" s="1">
        <v>9</v>
      </c>
      <c r="F17" s="1">
        <v>7</v>
      </c>
      <c r="G17" s="1" cm="1">
        <f t="array" ref="G17">SUMPRODUCT(B17:F17,{0.35,0.25,0.2,0.15,0.05})</f>
        <v>8.8</v>
      </c>
      <c r="H17" s="1" t="str">
        <f t="shared" si="0"/>
        <v>High</v>
      </c>
    </row>
    <row r="18" spans="1:8">
      <c r="A18" s="1" t="s">
        <v>24</v>
      </c>
      <c r="B18" s="1">
        <v>9</v>
      </c>
      <c r="C18" s="1">
        <v>2</v>
      </c>
      <c r="D18" s="1">
        <v>2</v>
      </c>
      <c r="E18" s="1">
        <v>7</v>
      </c>
      <c r="F18" s="1">
        <v>8</v>
      </c>
      <c r="G18" s="1" cm="1">
        <f t="array" ref="G18">SUMPRODUCT(B18:F18,{0.35,0.25,0.2,0.15,0.05})</f>
        <v>5.5</v>
      </c>
      <c r="H18" s="1" t="str">
        <f t="shared" si="0"/>
        <v>Median</v>
      </c>
    </row>
    <row r="19" spans="1:8">
      <c r="A19" s="1" t="s">
        <v>25</v>
      </c>
      <c r="B19" s="1">
        <v>9</v>
      </c>
      <c r="C19" s="1">
        <v>2</v>
      </c>
      <c r="D19" s="1">
        <v>2</v>
      </c>
      <c r="E19" s="1">
        <v>7</v>
      </c>
      <c r="F19" s="1">
        <v>8</v>
      </c>
      <c r="G19" s="1" cm="1">
        <f t="array" ref="G19">SUMPRODUCT(B19:F19,{0.35,0.25,0.2,0.15,0.05})</f>
        <v>5.5</v>
      </c>
      <c r="H19" s="1" t="str">
        <f t="shared" si="0"/>
        <v>Median</v>
      </c>
    </row>
    <row r="20" spans="1:8">
      <c r="A20" s="1" t="s">
        <v>26</v>
      </c>
      <c r="B20" s="1">
        <v>9</v>
      </c>
      <c r="C20" s="1">
        <v>4</v>
      </c>
      <c r="D20" s="1">
        <v>1</v>
      </c>
      <c r="E20" s="1">
        <v>8</v>
      </c>
      <c r="F20" s="1">
        <v>8</v>
      </c>
      <c r="G20" s="1" cm="1">
        <f t="array" ref="G20">SUMPRODUCT(B20:F20,{0.35,0.25,0.2,0.15,0.05})</f>
        <v>5.95</v>
      </c>
      <c r="H20" s="1" t="str">
        <f t="shared" si="0"/>
        <v>Median</v>
      </c>
    </row>
    <row r="21" spans="1:8">
      <c r="A21" s="1" t="s">
        <v>27</v>
      </c>
      <c r="B21" s="1">
        <v>9</v>
      </c>
      <c r="C21" s="1">
        <v>5</v>
      </c>
      <c r="D21" s="1">
        <v>1</v>
      </c>
      <c r="E21" s="1">
        <v>9</v>
      </c>
      <c r="F21" s="1">
        <v>5</v>
      </c>
      <c r="G21" s="1" cm="1">
        <f t="array" ref="G21">SUMPRODUCT(B21:F21,{0.35,0.25,0.2,0.15,0.05})</f>
        <v>6.2</v>
      </c>
      <c r="H21" s="1" t="str">
        <f t="shared" si="0"/>
        <v>Median</v>
      </c>
    </row>
    <row r="22" spans="1:8">
      <c r="A22" s="1" t="s">
        <v>28</v>
      </c>
      <c r="B22" s="1">
        <v>4</v>
      </c>
      <c r="C22" s="1">
        <v>8</v>
      </c>
      <c r="D22" s="1">
        <v>7</v>
      </c>
      <c r="E22" s="1">
        <v>5</v>
      </c>
      <c r="F22" s="1">
        <v>7</v>
      </c>
      <c r="G22" s="1" cm="1">
        <f t="array" ref="G22">SUMPRODUCT(B22:F22,{0.35,0.25,0.2,0.15,0.05})</f>
        <v>5.9</v>
      </c>
      <c r="H22" s="1" t="str">
        <f t="shared" si="0"/>
        <v>Median</v>
      </c>
    </row>
    <row r="23" spans="1:8">
      <c r="A23" s="1" t="s">
        <v>29</v>
      </c>
      <c r="B23" s="1">
        <v>4</v>
      </c>
      <c r="C23" s="1">
        <v>5</v>
      </c>
      <c r="D23" s="1">
        <v>7</v>
      </c>
      <c r="E23" s="1">
        <v>5</v>
      </c>
      <c r="F23" s="1">
        <v>7</v>
      </c>
      <c r="G23" s="1" cm="1">
        <f t="array" ref="G23">SUMPRODUCT(B23:F23,{0.35,0.25,0.2,0.15,0.05})</f>
        <v>5.15</v>
      </c>
      <c r="H23" s="1" t="str">
        <f t="shared" si="0"/>
        <v>Median</v>
      </c>
    </row>
    <row r="24" spans="1:8">
      <c r="A24" s="1" t="s">
        <v>30</v>
      </c>
      <c r="B24" s="1">
        <v>4</v>
      </c>
      <c r="C24" s="1">
        <v>6</v>
      </c>
      <c r="D24" s="1">
        <v>7</v>
      </c>
      <c r="E24" s="1">
        <v>5</v>
      </c>
      <c r="F24" s="1">
        <v>7</v>
      </c>
      <c r="G24" s="1" cm="1">
        <f t="array" ref="G24">SUMPRODUCT(B24:F24,{0.35,0.25,0.2,0.15,0.05})</f>
        <v>5.4</v>
      </c>
      <c r="H24" s="1" t="str">
        <f t="shared" si="0"/>
        <v>Median</v>
      </c>
    </row>
    <row r="25" spans="1:8">
      <c r="A25" s="1" t="s">
        <v>31</v>
      </c>
      <c r="B25" s="1">
        <v>4</v>
      </c>
      <c r="C25" s="1">
        <v>7</v>
      </c>
      <c r="D25" s="1">
        <v>7</v>
      </c>
      <c r="E25" s="1">
        <v>5</v>
      </c>
      <c r="F25" s="1">
        <v>7</v>
      </c>
      <c r="G25" s="1" cm="1">
        <f t="array" ref="G25">SUMPRODUCT(B25:F25,{0.35,0.25,0.2,0.15,0.05})</f>
        <v>5.65</v>
      </c>
      <c r="H25" s="1" t="str">
        <f t="shared" si="0"/>
        <v>Median</v>
      </c>
    </row>
    <row r="26" spans="1:8">
      <c r="A26" s="1" t="s">
        <v>32</v>
      </c>
      <c r="B26" s="1">
        <v>4</v>
      </c>
      <c r="C26" s="1">
        <v>6</v>
      </c>
      <c r="D26" s="1">
        <v>7</v>
      </c>
      <c r="E26" s="1">
        <v>5</v>
      </c>
      <c r="F26" s="1">
        <v>7</v>
      </c>
      <c r="G26" s="1" cm="1">
        <f t="array" ref="G26">SUMPRODUCT(B26:F26,{0.35,0.25,0.2,0.15,0.05})</f>
        <v>5.4</v>
      </c>
      <c r="H26" s="1" t="str">
        <f t="shared" si="0"/>
        <v>Median</v>
      </c>
    </row>
    <row r="27" spans="1:8">
      <c r="A27" s="1" t="s">
        <v>33</v>
      </c>
      <c r="B27" s="1">
        <v>4</v>
      </c>
      <c r="C27" s="1">
        <v>6</v>
      </c>
      <c r="D27" s="1">
        <v>7</v>
      </c>
      <c r="E27" s="1">
        <v>5</v>
      </c>
      <c r="F27" s="1">
        <v>7</v>
      </c>
      <c r="G27" s="1" cm="1">
        <f t="array" ref="G27">SUMPRODUCT(B27:F27,{0.35,0.25,0.2,0.15,0.05})</f>
        <v>5.4</v>
      </c>
      <c r="H27" s="1" t="str">
        <f t="shared" si="0"/>
        <v>Median</v>
      </c>
    </row>
    <row r="28" spans="1:8">
      <c r="A28" s="1" t="s">
        <v>34</v>
      </c>
      <c r="B28" s="1">
        <v>4</v>
      </c>
      <c r="C28" s="1">
        <v>3</v>
      </c>
      <c r="D28" s="1">
        <v>7</v>
      </c>
      <c r="E28" s="1">
        <v>5</v>
      </c>
      <c r="F28" s="1">
        <v>7</v>
      </c>
      <c r="G28" s="1" cm="1">
        <f t="array" ref="G28">SUMPRODUCT(B28:F28,{0.35,0.25,0.2,0.15,0.05})</f>
        <v>4.65</v>
      </c>
      <c r="H28" s="1" t="str">
        <f t="shared" si="0"/>
        <v>Median</v>
      </c>
    </row>
    <row r="29" spans="1:8">
      <c r="A29" s="1" t="s">
        <v>35</v>
      </c>
      <c r="B29" s="1">
        <v>4</v>
      </c>
      <c r="C29" s="1">
        <v>5</v>
      </c>
      <c r="D29" s="1">
        <v>7</v>
      </c>
      <c r="E29" s="1">
        <v>5</v>
      </c>
      <c r="F29" s="1">
        <v>7</v>
      </c>
      <c r="G29" s="1" cm="1">
        <f t="array" ref="G29">SUMPRODUCT(B29:F29,{0.35,0.25,0.2,0.15,0.05})</f>
        <v>5.15</v>
      </c>
      <c r="H29" s="1" t="str">
        <f t="shared" si="0"/>
        <v>Median</v>
      </c>
    </row>
    <row r="30" spans="1:8">
      <c r="A30" s="1" t="s">
        <v>36</v>
      </c>
      <c r="B30" s="1">
        <v>4</v>
      </c>
      <c r="C30" s="1">
        <v>5</v>
      </c>
      <c r="D30" s="1">
        <v>7</v>
      </c>
      <c r="E30" s="1">
        <v>5</v>
      </c>
      <c r="F30" s="1">
        <v>7</v>
      </c>
      <c r="G30" s="1" cm="1">
        <f t="array" ref="G30">SUMPRODUCT(B30:F30,{0.35,0.25,0.2,0.15,0.05})</f>
        <v>5.15</v>
      </c>
      <c r="H30" s="1" t="str">
        <f t="shared" si="0"/>
        <v>Median</v>
      </c>
    </row>
    <row r="31" spans="1:8">
      <c r="A31" s="1" t="s">
        <v>37</v>
      </c>
      <c r="B31" s="1">
        <v>4</v>
      </c>
      <c r="C31" s="1">
        <v>2</v>
      </c>
      <c r="D31" s="1">
        <v>7</v>
      </c>
      <c r="E31" s="1">
        <v>5</v>
      </c>
      <c r="F31" s="1">
        <v>7</v>
      </c>
      <c r="G31" s="1" cm="1">
        <f t="array" ref="G31">SUMPRODUCT(B31:F31,{0.35,0.25,0.2,0.15,0.05})</f>
        <v>4.4</v>
      </c>
      <c r="H31" s="1" t="str">
        <f t="shared" si="0"/>
        <v>Median</v>
      </c>
    </row>
    <row r="32" spans="1:8">
      <c r="A32" s="1" t="s">
        <v>38</v>
      </c>
      <c r="B32" s="1">
        <v>4</v>
      </c>
      <c r="C32" s="1">
        <v>4</v>
      </c>
      <c r="D32" s="1">
        <v>7</v>
      </c>
      <c r="E32" s="1">
        <v>5</v>
      </c>
      <c r="F32" s="1">
        <v>7</v>
      </c>
      <c r="G32" s="1" cm="1">
        <f t="array" ref="G32">SUMPRODUCT(B32:F32,{0.35,0.25,0.2,0.15,0.05})</f>
        <v>4.9</v>
      </c>
      <c r="H32" s="1" t="str">
        <f t="shared" si="0"/>
        <v>Median</v>
      </c>
    </row>
    <row r="33" spans="1:8">
      <c r="A33" s="1" t="s">
        <v>39</v>
      </c>
      <c r="B33" s="1">
        <v>4</v>
      </c>
      <c r="C33" s="1">
        <v>4</v>
      </c>
      <c r="D33" s="1">
        <v>7</v>
      </c>
      <c r="E33" s="1">
        <v>5</v>
      </c>
      <c r="F33" s="1">
        <v>7</v>
      </c>
      <c r="G33" s="1" cm="1">
        <f t="array" ref="G33">SUMPRODUCT(B33:F33,{0.35,0.25,0.2,0.15,0.05})</f>
        <v>4.9</v>
      </c>
      <c r="H33" s="1" t="str">
        <f t="shared" si="0"/>
        <v>Median</v>
      </c>
    </row>
    <row r="34" spans="1:8">
      <c r="A34" s="1" t="s">
        <v>40</v>
      </c>
      <c r="B34" s="1">
        <v>4</v>
      </c>
      <c r="C34" s="1">
        <v>8</v>
      </c>
      <c r="D34" s="1">
        <v>7</v>
      </c>
      <c r="E34" s="1">
        <v>5</v>
      </c>
      <c r="F34" s="1">
        <v>7</v>
      </c>
      <c r="G34" s="1" cm="1">
        <f t="array" ref="G34">SUMPRODUCT(B34:F34,{0.35,0.25,0.2,0.15,0.05})</f>
        <v>5.9</v>
      </c>
      <c r="H34" s="1" t="str">
        <f t="shared" si="0"/>
        <v>Median</v>
      </c>
    </row>
    <row r="35" spans="1:8">
      <c r="A35" s="1" t="s">
        <v>41</v>
      </c>
      <c r="B35" s="1">
        <v>4</v>
      </c>
      <c r="C35" s="1">
        <v>3</v>
      </c>
      <c r="D35" s="1">
        <v>7</v>
      </c>
      <c r="E35" s="1">
        <v>5</v>
      </c>
      <c r="F35" s="1">
        <v>7</v>
      </c>
      <c r="G35" s="1" cm="1">
        <f t="array" ref="G35">SUMPRODUCT(B35:F35,{0.35,0.25,0.2,0.15,0.05})</f>
        <v>4.65</v>
      </c>
      <c r="H35" s="1" t="str">
        <f t="shared" si="0"/>
        <v>Median</v>
      </c>
    </row>
    <row r="36" spans="1:8">
      <c r="A36" s="1" t="s">
        <v>42</v>
      </c>
      <c r="B36" s="1">
        <v>4</v>
      </c>
      <c r="C36" s="1">
        <v>3</v>
      </c>
      <c r="D36" s="1">
        <v>7</v>
      </c>
      <c r="E36" s="1">
        <v>5</v>
      </c>
      <c r="F36" s="1">
        <v>7</v>
      </c>
      <c r="G36" s="1" cm="1">
        <f t="array" ref="G36">SUMPRODUCT(B36:F36,{0.35,0.25,0.2,0.15,0.05})</f>
        <v>4.65</v>
      </c>
      <c r="H36" s="1" t="str">
        <f t="shared" si="0"/>
        <v>Median</v>
      </c>
    </row>
    <row r="37" spans="1:8">
      <c r="A37" s="1" t="s">
        <v>43</v>
      </c>
      <c r="B37" s="1">
        <v>10</v>
      </c>
      <c r="C37" s="1">
        <v>10</v>
      </c>
      <c r="D37" s="1">
        <v>7</v>
      </c>
      <c r="E37" s="1">
        <v>10</v>
      </c>
      <c r="F37" s="1">
        <v>10</v>
      </c>
      <c r="G37" s="1" cm="1">
        <f t="array" ref="G37">SUMPRODUCT(B37:F37,{0.35,0.25,0.2,0.15,0.05})</f>
        <v>9.4</v>
      </c>
      <c r="H37" s="1" t="str">
        <f t="shared" si="0"/>
        <v>High</v>
      </c>
    </row>
    <row r="38" spans="1:8">
      <c r="A38" s="1" t="s">
        <v>44</v>
      </c>
      <c r="B38" s="1">
        <v>5</v>
      </c>
      <c r="C38" s="1">
        <v>8</v>
      </c>
      <c r="D38" s="1">
        <v>4</v>
      </c>
      <c r="E38" s="1">
        <v>7</v>
      </c>
      <c r="F38" s="1">
        <v>7</v>
      </c>
      <c r="G38" s="1" cm="1">
        <f t="array" ref="G38">SUMPRODUCT(B38:F38,{0.35,0.25,0.2,0.15,0.05})</f>
        <v>5.95</v>
      </c>
      <c r="H38" s="1" t="str">
        <f t="shared" si="0"/>
        <v>Median</v>
      </c>
    </row>
    <row r="39" spans="1:8">
      <c r="A39" s="1" t="s">
        <v>45</v>
      </c>
      <c r="B39" s="1">
        <v>6</v>
      </c>
      <c r="C39" s="1">
        <v>8</v>
      </c>
      <c r="D39" s="1">
        <v>5</v>
      </c>
      <c r="E39" s="1">
        <v>7</v>
      </c>
      <c r="F39" s="1">
        <v>7</v>
      </c>
      <c r="G39" s="1" cm="1">
        <f t="array" ref="G39">SUMPRODUCT(B39:F39,{0.35,0.25,0.2,0.15,0.05})</f>
        <v>6.5</v>
      </c>
      <c r="H39" s="1" t="str">
        <f t="shared" si="0"/>
        <v>Median</v>
      </c>
    </row>
    <row r="40" spans="1:8">
      <c r="A40" s="1" t="s">
        <v>46</v>
      </c>
      <c r="B40" s="1">
        <v>5</v>
      </c>
      <c r="C40" s="1">
        <v>7</v>
      </c>
      <c r="D40" s="1">
        <v>4</v>
      </c>
      <c r="E40" s="1">
        <v>8</v>
      </c>
      <c r="F40" s="1">
        <v>7</v>
      </c>
      <c r="G40" s="1" cm="1">
        <f t="array" ref="G40">SUMPRODUCT(B40:F40,{0.35,0.25,0.2,0.15,0.05})</f>
        <v>5.85</v>
      </c>
      <c r="H40" s="1" t="str">
        <f t="shared" si="0"/>
        <v>Median</v>
      </c>
    </row>
    <row r="41" spans="1:8">
      <c r="A41" s="1" t="s">
        <v>47</v>
      </c>
      <c r="B41" s="1">
        <v>5</v>
      </c>
      <c r="C41" s="1">
        <v>8</v>
      </c>
      <c r="D41" s="1">
        <v>4</v>
      </c>
      <c r="E41" s="1">
        <v>7</v>
      </c>
      <c r="F41" s="1">
        <v>7</v>
      </c>
      <c r="G41" s="1" cm="1">
        <f t="array" ref="G41">SUMPRODUCT(B41:F41,{0.35,0.25,0.2,0.15,0.05})</f>
        <v>5.95</v>
      </c>
      <c r="H41" s="1" t="str">
        <f t="shared" si="0"/>
        <v>Median</v>
      </c>
    </row>
    <row r="42" spans="1:8">
      <c r="A42" s="1" t="s">
        <v>48</v>
      </c>
      <c r="B42" s="1">
        <v>6</v>
      </c>
      <c r="C42" s="1">
        <v>7</v>
      </c>
      <c r="D42" s="1">
        <v>5</v>
      </c>
      <c r="E42" s="1">
        <v>7</v>
      </c>
      <c r="F42" s="1">
        <v>7</v>
      </c>
      <c r="G42" s="1" cm="1">
        <f t="array" ref="G42">SUMPRODUCT(B42:F42,{0.35,0.25,0.2,0.15,0.05})</f>
        <v>6.25</v>
      </c>
      <c r="H42" s="1" t="str">
        <f t="shared" si="0"/>
        <v>Median</v>
      </c>
    </row>
    <row r="43" spans="1:8">
      <c r="A43" s="1" t="s">
        <v>49</v>
      </c>
      <c r="B43" s="1">
        <v>5</v>
      </c>
      <c r="C43" s="1">
        <v>8</v>
      </c>
      <c r="D43" s="1">
        <v>5</v>
      </c>
      <c r="E43" s="1">
        <v>8</v>
      </c>
      <c r="F43" s="1">
        <v>7</v>
      </c>
      <c r="G43" s="1" cm="1">
        <f t="array" ref="G43">SUMPRODUCT(B43:F43,{0.35,0.25,0.2,0.15,0.05})</f>
        <v>6.3</v>
      </c>
      <c r="H43" s="1" t="str">
        <f t="shared" si="0"/>
        <v>Median</v>
      </c>
    </row>
    <row r="44" spans="1:8">
      <c r="A44" s="1" t="s">
        <v>50</v>
      </c>
      <c r="B44" s="1">
        <v>1</v>
      </c>
      <c r="C44" s="1">
        <v>8</v>
      </c>
      <c r="D44" s="2">
        <v>8</v>
      </c>
      <c r="E44" s="2">
        <v>5</v>
      </c>
      <c r="F44" s="2">
        <v>8</v>
      </c>
      <c r="G44" s="1" cm="1">
        <f t="array" ref="G44">SUMPRODUCT(B44:F44,{0.35,0.25,0.2,0.15,0.05})</f>
        <v>5.1</v>
      </c>
      <c r="H44" s="1" t="str">
        <f t="shared" si="0"/>
        <v>Median</v>
      </c>
    </row>
    <row r="45" spans="1:8">
      <c r="A45" s="1" t="s">
        <v>51</v>
      </c>
      <c r="B45" s="1">
        <v>1</v>
      </c>
      <c r="C45" s="1">
        <v>8</v>
      </c>
      <c r="D45" s="2">
        <v>1</v>
      </c>
      <c r="E45" s="2">
        <v>4</v>
      </c>
      <c r="F45" s="2">
        <v>8</v>
      </c>
      <c r="G45" s="1" cm="1">
        <f t="array" ref="G45">SUMPRODUCT(B45:F45,{0.35,0.25,0.2,0.15,0.05})</f>
        <v>3.55</v>
      </c>
      <c r="H45" s="1" t="str">
        <f t="shared" si="0"/>
        <v>Low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Jiang</cp:lastModifiedBy>
  <dcterms:created xsi:type="dcterms:W3CDTF">2023-05-12T11:15:00Z</dcterms:created>
  <dcterms:modified xsi:type="dcterms:W3CDTF">2025-11-27T15:51:28Z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D9E903B870C24193B6C0FA073B842965_12</vt:lpwstr>
  </property>
</Properties>
</file>